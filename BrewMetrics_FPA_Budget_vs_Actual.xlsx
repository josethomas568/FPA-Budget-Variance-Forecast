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  <sheet name="Foreca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<sst xmlns="http://schemas.openxmlformats.org/spreadsheetml/2006/main" count="158" uniqueCount="47">
  <si>
    <t xml:space="preserve">Department</t>
  </si>
  <si>
    <t xml:space="preserve">Account</t>
  </si>
  <si>
    <t xml:space="preserve">Category</t>
  </si>
  <si>
    <t xml:space="preserve">Month</t>
  </si>
  <si>
    <t xml:space="preserve">Budget</t>
  </si>
  <si>
    <t xml:space="preserve">Actual</t>
  </si>
  <si>
    <t xml:space="preserve">Variance ($)</t>
  </si>
  <si>
    <t xml:space="preserve">Variance (%)</t>
  </si>
  <si>
    <t xml:space="preserve">Status</t>
  </si>
  <si>
    <t xml:space="preserve">Sales</t>
  </si>
  <si>
    <t xml:space="preserve">Revenue</t>
  </si>
  <si>
    <t xml:space="preserve">Income</t>
  </si>
  <si>
    <t xml:space="preserve">Jan</t>
  </si>
  <si>
    <t xml:space="preserve">Operations</t>
  </si>
  <si>
    <t xml:space="preserve">Cost of Goods Sold</t>
  </si>
  <si>
    <t xml:space="preserve">COGS</t>
  </si>
  <si>
    <t xml:space="preserve">Marketing</t>
  </si>
  <si>
    <t xml:space="preserve">Digital Ads</t>
  </si>
  <si>
    <t xml:space="preserve">Opex</t>
  </si>
  <si>
    <t xml:space="preserve">Events</t>
  </si>
  <si>
    <t xml:space="preserve">Store Labor</t>
  </si>
  <si>
    <t xml:space="preserve">Rent</t>
  </si>
  <si>
    <t xml:space="preserve">G&amp;A</t>
  </si>
  <si>
    <t xml:space="preserve">Software</t>
  </si>
  <si>
    <t xml:space="preserve">Salaries</t>
  </si>
  <si>
    <t xml:space="preserve">Feb</t>
  </si>
  <si>
    <t xml:space="preserve">Mar</t>
  </si>
  <si>
    <t xml:space="preserve">BrewMetrics Coffee Co. — Q1 Budget vs. Actual (P&amp;L)</t>
  </si>
  <si>
    <t xml:space="preserve">All figures in USD. Variance = Actual − Budget. Status: Favorable / Unfavorable by line.</t>
  </si>
  <si>
    <t xml:space="preserve">Line Item</t>
  </si>
  <si>
    <t xml:space="preserve">Gross Profit</t>
  </si>
  <si>
    <t xml:space="preserve">Operating Expenses</t>
  </si>
  <si>
    <t xml:space="preserve">Operating Income</t>
  </si>
  <si>
    <t xml:space="preserve">Operating Margin %</t>
  </si>
  <si>
    <t xml:space="preserve">Revenue by Month</t>
  </si>
  <si>
    <t xml:space="preserve">BrewMetrics Coffee Co. — Q2 Rolling Forecast (Apr–Jun)</t>
  </si>
  <si>
    <t xml:space="preserve">Driver-based forecast off Q1 actuals. Blue = input assumptions; green = links to other tabs.</t>
  </si>
  <si>
    <t xml:space="preserve">Assumptions</t>
  </si>
  <si>
    <t xml:space="preserve">Revenue MoM Growth</t>
  </si>
  <si>
    <t xml:space="preserve">Opex MoM Growth</t>
  </si>
  <si>
    <t xml:space="preserve">COGS % of Revenue</t>
  </si>
  <si>
    <t xml:space="preserve">Starting Revenue (Mar Act)</t>
  </si>
  <si>
    <t xml:space="preserve">Starting Opex (Mar Act)</t>
  </si>
  <si>
    <t xml:space="preserve">Apr</t>
  </si>
  <si>
    <t xml:space="preserve">May</t>
  </si>
  <si>
    <t xml:space="preserve">Jun</t>
  </si>
  <si>
    <t xml:space="preserve">Q2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</si>
</sst>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"/>
    <numFmt numFmtId="166" formatCode="0.0%"/>
    <numFmt numFmtId="167" formatCode="\$#,##0;&quot;($&quot;#,##0\)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1F4E78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F4E78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Calibri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61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Budget vs. Actual by Category (Q1)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Summary!I4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Summary!$H$5:$H$7</c:f>
              <c:strCache>
                <c:ptCount val="3"/>
                <c:pt idx="0">
                  <c:v>Revenue</c:v>
                </c:pt>
                <c:pt idx="1">
                  <c:v>COGS</c:v>
                </c:pt>
                <c:pt idx="2">
                  <c:v>Opex</c:v>
                </c:pt>
              </c:strCache>
            </c:strRef>
          </c:cat>
          <c:val>
            <c:numRef>
              <c:f>Summary!$I$5:$I$7</c:f>
              <c:numCache>
                <c:formatCode>\$#,##0;"($"#,##0\)</c:formatCode>
                <c:ptCount val="3"/>
                <c:pt idx="0">
                  <c:v>2160000</c:v>
                </c:pt>
                <c:pt idx="1">
                  <c:v>709000</c:v>
                </c:pt>
                <c:pt idx="2">
                  <c:v>1152000</c:v>
                </c:pt>
              </c:numCache>
            </c:numRef>
          </c:val>
        </c:ser>
        <c:ser>
          <c:idx val="1"/>
          <c:order val="1"/>
          <c:tx>
            <c:strRef>
              <c:f>Summary!J4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Summary!$H$5:$H$7</c:f>
              <c:strCache>
                <c:ptCount val="3"/>
                <c:pt idx="0">
                  <c:v>Revenue</c:v>
                </c:pt>
                <c:pt idx="1">
                  <c:v>COGS</c:v>
                </c:pt>
                <c:pt idx="2">
                  <c:v>Opex</c:v>
                </c:pt>
              </c:strCache>
            </c:strRef>
          </c:cat>
          <c:val>
            <c:numRef>
              <c:f>Summary!$J$5:$J$7</c:f>
              <c:numCache>
                <c:formatCode>\$#,##0;"($"#,##0\)</c:formatCode>
                <c:ptCount val="3"/>
                <c:pt idx="0">
                  <c:v>2188000</c:v>
                </c:pt>
                <c:pt idx="1">
                  <c:v>718000</c:v>
                </c:pt>
                <c:pt idx="2">
                  <c:v>1181500</c:v>
                </c:pt>
              </c:numCache>
            </c:numRef>
          </c:val>
        </c:ser>
        <c:gapWidth val="150"/>
        <c:overlap val="0"/>
        <c:axId val="52503751"/>
        <c:axId val="71615329"/>
      </c:barChart>
      <c:catAx>
        <c:axId val="525037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615329"/>
        <c:crosses val="autoZero"/>
        <c:auto val="1"/>
        <c:lblAlgn val="ctr"/>
        <c:lblOffset val="100"/>
        <c:noMultiLvlLbl val="0"/>
      </c:catAx>
      <c:valAx>
        <c:axId val="716153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50375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Q2 Forecast: Revenue vs. Operating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Forecast!I12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Forecast!$H$13:$H$15</c:f>
              <c:strCache>
                <c:ptCount val="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</c:strCache>
            </c:strRef>
          </c:cat>
          <c:val>
            <c:numRef>
              <c:f>Forecast!$I$13:$I$15</c:f>
              <c:numCache>
                <c:formatCode>\$#,##0;"($"#,##0\)</c:formatCode>
                <c:ptCount val="3"/>
                <c:pt idx="0">
                  <c:v>795160</c:v>
                </c:pt>
                <c:pt idx="1">
                  <c:v>819014.8</c:v>
                </c:pt>
                <c:pt idx="2">
                  <c:v>843585.244</c:v>
                </c:pt>
              </c:numCache>
            </c:numRef>
          </c:val>
        </c:ser>
        <c:ser>
          <c:idx val="1"/>
          <c:order val="1"/>
          <c:tx>
            <c:strRef>
              <c:f>Forecast!J12</c:f>
              <c:strCache>
                <c:ptCount val="1"/>
                <c:pt idx="0">
                  <c:v>Operating Income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Forecast!$H$13:$H$15</c:f>
              <c:strCache>
                <c:ptCount val="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</c:strCache>
            </c:strRef>
          </c:cat>
          <c:val>
            <c:numRef>
              <c:f>Forecast!$J$13:$J$15</c:f>
              <c:numCache>
                <c:formatCode>\$#,##0;"($"#,##0\)</c:formatCode>
                <c:ptCount val="3"/>
                <c:pt idx="0">
                  <c:v>132750.411334552</c:v>
                </c:pt>
                <c:pt idx="1">
                  <c:v>144762.423674589</c:v>
                </c:pt>
                <c:pt idx="2">
                  <c:v>157215.091384826</c:v>
                </c:pt>
              </c:numCache>
            </c:numRef>
          </c:val>
        </c:ser>
        <c:gapWidth val="150"/>
        <c:overlap val="0"/>
        <c:axId val="27983135"/>
        <c:axId val="90183012"/>
      </c:barChart>
      <c:catAx>
        <c:axId val="2798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183012"/>
        <c:crosses val="autoZero"/>
        <c:auto val="1"/>
        <c:lblAlgn val="ctr"/>
        <c:lblOffset val="100"/>
        <c:noMultiLvlLbl val="0"/>
      </c:catAx>
      <c:valAx>
        <c:axId val="901830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9831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14</xdr:col>
      <xdr:colOff>55440</xdr:colOff>
      <xdr:row>24</xdr:row>
      <xdr:rowOff>21240</xdr:rowOff>
    </xdr:to>
    <xdr:graphicFrame>
      <xdr:nvGraphicFramePr>
        <xdr:cNvPr id="1" name="Chart 1"/>
        <xdr:cNvGraphicFramePr/>
      </xdr:nvGraphicFramePr>
      <xdr:xfrm>
        <a:off x="6814080" y="1743120"/>
        <a:ext cx="503892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16</xdr:row>
      <xdr:rowOff>0</xdr:rowOff>
    </xdr:from>
    <xdr:to>
      <xdr:col>13</xdr:col>
      <xdr:colOff>385560</xdr:colOff>
      <xdr:row>31</xdr:row>
      <xdr:rowOff>22320</xdr:rowOff>
    </xdr:to>
    <xdr:graphicFrame>
      <xdr:nvGraphicFramePr>
        <xdr:cNvPr id="2" name="Chart 1"/>
        <xdr:cNvGraphicFramePr/>
      </xdr:nvGraphicFramePr>
      <xdr:xfrm>
        <a:off x="6579720" y="3078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7" min="5" style="1" width="13"/>
    <col collapsed="false" customWidth="true" hidden="false" outlineLevel="0" max="8" min="8" style="1" width="12"/>
    <col collapsed="false" customWidth="true" hidden="false" outlineLevel="0" max="9" min="9" style="1" width="1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4" t="n">
        <v>700000</v>
      </c>
      <c r="F2" s="4" t="n">
        <v>718000</v>
      </c>
      <c r="G2" s="4" t="n">
        <f aca="false">F2-E2</f>
        <v>18000</v>
      </c>
      <c r="H2" s="5" t="n">
        <f aca="false">IF(E2=0,"",(F2-E2)/E2)</f>
        <v>0.0257142857142857</v>
      </c>
      <c r="I2" s="3" t="str">
        <f aca="false">IF(C2="Income",IF(F2&gt;=E2,"Favorable","Unfavorable"),IF(F2&lt;=E2,"Favorable","Unfavorable"))</f>
        <v>Favorable</v>
      </c>
    </row>
    <row r="3" customFormat="false" ht="15" hidden="false" customHeight="true" outlineLevel="0" collapsed="false">
      <c r="A3" s="3" t="s">
        <v>13</v>
      </c>
      <c r="B3" s="3" t="s">
        <v>14</v>
      </c>
      <c r="C3" s="3" t="s">
        <v>15</v>
      </c>
      <c r="D3" s="3" t="s">
        <v>12</v>
      </c>
      <c r="E3" s="4" t="n">
        <v>230000</v>
      </c>
      <c r="F3" s="4" t="n">
        <v>238000</v>
      </c>
      <c r="G3" s="4" t="n">
        <f aca="false">F3-E3</f>
        <v>8000</v>
      </c>
      <c r="H3" s="5" t="n">
        <f aca="false">IF(E3=0,"",(F3-E3)/E3)</f>
        <v>0.0347826086956522</v>
      </c>
      <c r="I3" s="3" t="str">
        <f aca="false">IF(C3="Income",IF(F3&gt;=E3,"Favorable","Unfavorable"),IF(F3&lt;=E3,"Favorable","Unfavorable"))</f>
        <v>Unfavorable</v>
      </c>
    </row>
    <row r="4" customFormat="false" ht="15" hidden="false" customHeight="true" outlineLevel="0" collapsed="false">
      <c r="A4" s="3" t="s">
        <v>16</v>
      </c>
      <c r="B4" s="3" t="s">
        <v>17</v>
      </c>
      <c r="C4" s="3" t="s">
        <v>18</v>
      </c>
      <c r="D4" s="3" t="s">
        <v>12</v>
      </c>
      <c r="E4" s="4" t="n">
        <v>80000</v>
      </c>
      <c r="F4" s="4" t="n">
        <v>91000</v>
      </c>
      <c r="G4" s="4" t="n">
        <f aca="false">F4-E4</f>
        <v>11000</v>
      </c>
      <c r="H4" s="5" t="n">
        <f aca="false">IF(E4=0,"",(F4-E4)/E4)</f>
        <v>0.1375</v>
      </c>
      <c r="I4" s="3" t="str">
        <f aca="false">IF(C4="Income",IF(F4&gt;=E4,"Favorable","Unfavorable"),IF(F4&lt;=E4,"Favorable","Unfavorable"))</f>
        <v>Unfavorable</v>
      </c>
    </row>
    <row r="5" customFormat="false" ht="15" hidden="false" customHeight="true" outlineLevel="0" collapsed="false">
      <c r="A5" s="3" t="s">
        <v>16</v>
      </c>
      <c r="B5" s="3" t="s">
        <v>19</v>
      </c>
      <c r="C5" s="3" t="s">
        <v>18</v>
      </c>
      <c r="D5" s="3" t="s">
        <v>12</v>
      </c>
      <c r="E5" s="4" t="n">
        <v>20000</v>
      </c>
      <c r="F5" s="4" t="n">
        <v>16000</v>
      </c>
      <c r="G5" s="4" t="n">
        <f aca="false">F5-E5</f>
        <v>-4000</v>
      </c>
      <c r="H5" s="5" t="n">
        <f aca="false">IF(E5=0,"",(F5-E5)/E5)</f>
        <v>-0.2</v>
      </c>
      <c r="I5" s="3" t="str">
        <f aca="false">IF(C5="Income",IF(F5&gt;=E5,"Favorable","Unfavorable"),IF(F5&lt;=E5,"Favorable","Unfavorable"))</f>
        <v>Favorable</v>
      </c>
    </row>
    <row r="6" customFormat="false" ht="15" hidden="false" customHeight="true" outlineLevel="0" collapsed="false">
      <c r="A6" s="3" t="s">
        <v>13</v>
      </c>
      <c r="B6" s="3" t="s">
        <v>20</v>
      </c>
      <c r="C6" s="3" t="s">
        <v>18</v>
      </c>
      <c r="D6" s="3" t="s">
        <v>12</v>
      </c>
      <c r="E6" s="4" t="n">
        <v>150000</v>
      </c>
      <c r="F6" s="4" t="n">
        <v>144000</v>
      </c>
      <c r="G6" s="4" t="n">
        <f aca="false">F6-E6</f>
        <v>-6000</v>
      </c>
      <c r="H6" s="5" t="n">
        <f aca="false">IF(E6=0,"",(F6-E6)/E6)</f>
        <v>-0.04</v>
      </c>
      <c r="I6" s="3" t="str">
        <f aca="false">IF(C6="Income",IF(F6&gt;=E6,"Favorable","Unfavorable"),IF(F6&lt;=E6,"Favorable","Unfavorable"))</f>
        <v>Favorable</v>
      </c>
    </row>
    <row r="7" customFormat="false" ht="15" hidden="false" customHeight="true" outlineLevel="0" collapsed="false">
      <c r="A7" s="3" t="s">
        <v>13</v>
      </c>
      <c r="B7" s="3" t="s">
        <v>21</v>
      </c>
      <c r="C7" s="3" t="s">
        <v>18</v>
      </c>
      <c r="D7" s="3" t="s">
        <v>12</v>
      </c>
      <c r="E7" s="4" t="n">
        <v>40000</v>
      </c>
      <c r="F7" s="4" t="n">
        <v>40000</v>
      </c>
      <c r="G7" s="4" t="n">
        <f aca="false">F7-E7</f>
        <v>0</v>
      </c>
      <c r="H7" s="5" t="n">
        <f aca="false">IF(E7=0,"",(F7-E7)/E7)</f>
        <v>0</v>
      </c>
      <c r="I7" s="3" t="str">
        <f aca="false">IF(C7="Income",IF(F7&gt;=E7,"Favorable","Unfavorable"),IF(F7&lt;=E7,"Favorable","Unfavorable"))</f>
        <v>Favorable</v>
      </c>
    </row>
    <row r="8" customFormat="false" ht="15" hidden="false" customHeight="true" outlineLevel="0" collapsed="false">
      <c r="A8" s="3" t="s">
        <v>22</v>
      </c>
      <c r="B8" s="3" t="s">
        <v>23</v>
      </c>
      <c r="C8" s="3" t="s">
        <v>18</v>
      </c>
      <c r="D8" s="3" t="s">
        <v>12</v>
      </c>
      <c r="E8" s="4" t="n">
        <v>25000</v>
      </c>
      <c r="F8" s="4" t="n">
        <v>26500</v>
      </c>
      <c r="G8" s="4" t="n">
        <f aca="false">F8-E8</f>
        <v>1500</v>
      </c>
      <c r="H8" s="5" t="n">
        <f aca="false">IF(E8=0,"",(F8-E8)/E8)</f>
        <v>0.06</v>
      </c>
      <c r="I8" s="3" t="str">
        <f aca="false">IF(C8="Income",IF(F8&gt;=E8,"Favorable","Unfavorable"),IF(F8&lt;=E8,"Favorable","Unfavorable"))</f>
        <v>Unfavorable</v>
      </c>
    </row>
    <row r="9" customFormat="false" ht="15" hidden="false" customHeight="true" outlineLevel="0" collapsed="false">
      <c r="A9" s="3" t="s">
        <v>22</v>
      </c>
      <c r="B9" s="3" t="s">
        <v>24</v>
      </c>
      <c r="C9" s="3" t="s">
        <v>18</v>
      </c>
      <c r="D9" s="3" t="s">
        <v>12</v>
      </c>
      <c r="E9" s="4" t="n">
        <v>60000</v>
      </c>
      <c r="F9" s="4" t="n">
        <v>60000</v>
      </c>
      <c r="G9" s="4" t="n">
        <f aca="false">F9-E9</f>
        <v>0</v>
      </c>
      <c r="H9" s="5" t="n">
        <f aca="false">IF(E9=0,"",(F9-E9)/E9)</f>
        <v>0</v>
      </c>
      <c r="I9" s="3" t="str">
        <f aca="false">IF(C9="Income",IF(F9&gt;=E9,"Favorable","Unfavorable"),IF(F9&lt;=E9,"Favorable","Unfavorable"))</f>
        <v>Favorable</v>
      </c>
    </row>
    <row r="10" customFormat="false" ht="15" hidden="false" customHeight="true" outlineLevel="0" collapsed="false">
      <c r="A10" s="3" t="s">
        <v>9</v>
      </c>
      <c r="B10" s="3" t="s">
        <v>10</v>
      </c>
      <c r="C10" s="3" t="s">
        <v>11</v>
      </c>
      <c r="D10" s="3" t="s">
        <v>25</v>
      </c>
      <c r="E10" s="4" t="n">
        <v>720000</v>
      </c>
      <c r="F10" s="4" t="n">
        <v>698000</v>
      </c>
      <c r="G10" s="4" t="n">
        <f aca="false">F10-E10</f>
        <v>-22000</v>
      </c>
      <c r="H10" s="5" t="n">
        <f aca="false">IF(E10=0,"",(F10-E10)/E10)</f>
        <v>-0.0305555555555556</v>
      </c>
      <c r="I10" s="3" t="str">
        <f aca="false">IF(C10="Income",IF(F10&gt;=E10,"Favorable","Unfavorable"),IF(F10&lt;=E10,"Favorable","Unfavorable"))</f>
        <v>Unfavorable</v>
      </c>
    </row>
    <row r="11" customFormat="false" ht="15" hidden="false" customHeight="true" outlineLevel="0" collapsed="false">
      <c r="A11" s="3" t="s">
        <v>13</v>
      </c>
      <c r="B11" s="3" t="s">
        <v>14</v>
      </c>
      <c r="C11" s="3" t="s">
        <v>15</v>
      </c>
      <c r="D11" s="3" t="s">
        <v>25</v>
      </c>
      <c r="E11" s="4" t="n">
        <v>236000</v>
      </c>
      <c r="F11" s="4" t="n">
        <v>232000</v>
      </c>
      <c r="G11" s="4" t="n">
        <f aca="false">F11-E11</f>
        <v>-4000</v>
      </c>
      <c r="H11" s="5" t="n">
        <f aca="false">IF(E11=0,"",(F11-E11)/E11)</f>
        <v>-0.0169491525423729</v>
      </c>
      <c r="I11" s="3" t="str">
        <f aca="false">IF(C11="Income",IF(F11&gt;=E11,"Favorable","Unfavorable"),IF(F11&lt;=E11,"Favorable","Unfavorable"))</f>
        <v>Favorable</v>
      </c>
    </row>
    <row r="12" customFormat="false" ht="15" hidden="false" customHeight="true" outlineLevel="0" collapsed="false">
      <c r="A12" s="3" t="s">
        <v>16</v>
      </c>
      <c r="B12" s="3" t="s">
        <v>17</v>
      </c>
      <c r="C12" s="3" t="s">
        <v>18</v>
      </c>
      <c r="D12" s="3" t="s">
        <v>25</v>
      </c>
      <c r="E12" s="4" t="n">
        <v>85000</v>
      </c>
      <c r="F12" s="4" t="n">
        <v>99000</v>
      </c>
      <c r="G12" s="4" t="n">
        <f aca="false">F12-E12</f>
        <v>14000</v>
      </c>
      <c r="H12" s="5" t="n">
        <f aca="false">IF(E12=0,"",(F12-E12)/E12)</f>
        <v>0.164705882352941</v>
      </c>
      <c r="I12" s="3" t="str">
        <f aca="false">IF(C12="Income",IF(F12&gt;=E12,"Favorable","Unfavorable"),IF(F12&lt;=E12,"Favorable","Unfavorable"))</f>
        <v>Unfavorable</v>
      </c>
    </row>
    <row r="13" customFormat="false" ht="15" hidden="false" customHeight="true" outlineLevel="0" collapsed="false">
      <c r="A13" s="3" t="s">
        <v>16</v>
      </c>
      <c r="B13" s="3" t="s">
        <v>19</v>
      </c>
      <c r="C13" s="3" t="s">
        <v>18</v>
      </c>
      <c r="D13" s="3" t="s">
        <v>25</v>
      </c>
      <c r="E13" s="4" t="n">
        <v>20000</v>
      </c>
      <c r="F13" s="4" t="n">
        <v>22000</v>
      </c>
      <c r="G13" s="4" t="n">
        <f aca="false">F13-E13</f>
        <v>2000</v>
      </c>
      <c r="H13" s="5" t="n">
        <f aca="false">IF(E13=0,"",(F13-E13)/E13)</f>
        <v>0.1</v>
      </c>
      <c r="I13" s="3" t="str">
        <f aca="false">IF(C13="Income",IF(F13&gt;=E13,"Favorable","Unfavorable"),IF(F13&lt;=E13,"Favorable","Unfavorable"))</f>
        <v>Unfavorable</v>
      </c>
    </row>
    <row r="14" customFormat="false" ht="15" hidden="false" customHeight="true" outlineLevel="0" collapsed="false">
      <c r="A14" s="3" t="s">
        <v>13</v>
      </c>
      <c r="B14" s="3" t="s">
        <v>20</v>
      </c>
      <c r="C14" s="3" t="s">
        <v>18</v>
      </c>
      <c r="D14" s="3" t="s">
        <v>25</v>
      </c>
      <c r="E14" s="4" t="n">
        <v>152000</v>
      </c>
      <c r="F14" s="4" t="n">
        <v>158000</v>
      </c>
      <c r="G14" s="4" t="n">
        <f aca="false">F14-E14</f>
        <v>6000</v>
      </c>
      <c r="H14" s="5" t="n">
        <f aca="false">IF(E14=0,"",(F14-E14)/E14)</f>
        <v>0.0394736842105263</v>
      </c>
      <c r="I14" s="3" t="str">
        <f aca="false">IF(C14="Income",IF(F14&gt;=E14,"Favorable","Unfavorable"),IF(F14&lt;=E14,"Favorable","Unfavorable"))</f>
        <v>Unfavorable</v>
      </c>
    </row>
    <row r="15" customFormat="false" ht="15" hidden="false" customHeight="true" outlineLevel="0" collapsed="false">
      <c r="A15" s="3" t="s">
        <v>13</v>
      </c>
      <c r="B15" s="3" t="s">
        <v>21</v>
      </c>
      <c r="C15" s="3" t="s">
        <v>18</v>
      </c>
      <c r="D15" s="3" t="s">
        <v>25</v>
      </c>
      <c r="E15" s="4" t="n">
        <v>40000</v>
      </c>
      <c r="F15" s="4" t="n">
        <v>40000</v>
      </c>
      <c r="G15" s="4" t="n">
        <f aca="false">F15-E15</f>
        <v>0</v>
      </c>
      <c r="H15" s="5" t="n">
        <f aca="false">IF(E15=0,"",(F15-E15)/E15)</f>
        <v>0</v>
      </c>
      <c r="I15" s="3" t="str">
        <f aca="false">IF(C15="Income",IF(F15&gt;=E15,"Favorable","Unfavorable"),IF(F15&lt;=E15,"Favorable","Unfavorable"))</f>
        <v>Favorable</v>
      </c>
    </row>
    <row r="16" customFormat="false" ht="15" hidden="false" customHeight="true" outlineLevel="0" collapsed="false">
      <c r="A16" s="3" t="s">
        <v>22</v>
      </c>
      <c r="B16" s="3" t="s">
        <v>23</v>
      </c>
      <c r="C16" s="3" t="s">
        <v>18</v>
      </c>
      <c r="D16" s="3" t="s">
        <v>25</v>
      </c>
      <c r="E16" s="4" t="n">
        <v>25000</v>
      </c>
      <c r="F16" s="4" t="n">
        <v>26500</v>
      </c>
      <c r="G16" s="4" t="n">
        <f aca="false">F16-E16</f>
        <v>1500</v>
      </c>
      <c r="H16" s="5" t="n">
        <f aca="false">IF(E16=0,"",(F16-E16)/E16)</f>
        <v>0.06</v>
      </c>
      <c r="I16" s="3" t="str">
        <f aca="false">IF(C16="Income",IF(F16&gt;=E16,"Favorable","Unfavorable"),IF(F16&lt;=E16,"Favorable","Unfavorable"))</f>
        <v>Unfavorable</v>
      </c>
    </row>
    <row r="17" customFormat="false" ht="15" hidden="false" customHeight="true" outlineLevel="0" collapsed="false">
      <c r="A17" s="3" t="s">
        <v>22</v>
      </c>
      <c r="B17" s="3" t="s">
        <v>24</v>
      </c>
      <c r="C17" s="3" t="s">
        <v>18</v>
      </c>
      <c r="D17" s="3" t="s">
        <v>25</v>
      </c>
      <c r="E17" s="4" t="n">
        <v>60000</v>
      </c>
      <c r="F17" s="4" t="n">
        <v>61000</v>
      </c>
      <c r="G17" s="4" t="n">
        <f aca="false">F17-E17</f>
        <v>1000</v>
      </c>
      <c r="H17" s="5" t="n">
        <f aca="false">IF(E17=0,"",(F17-E17)/E17)</f>
        <v>0.0166666666666667</v>
      </c>
      <c r="I17" s="3" t="str">
        <f aca="false">IF(C17="Income",IF(F17&gt;=E17,"Favorable","Unfavorable"),IF(F17&lt;=E17,"Favorable","Unfavorable"))</f>
        <v>Unfavorable</v>
      </c>
    </row>
    <row r="18" customFormat="false" ht="15" hidden="false" customHeight="true" outlineLevel="0" collapsed="false">
      <c r="A18" s="3" t="s">
        <v>9</v>
      </c>
      <c r="B18" s="3" t="s">
        <v>10</v>
      </c>
      <c r="C18" s="3" t="s">
        <v>11</v>
      </c>
      <c r="D18" s="3" t="s">
        <v>26</v>
      </c>
      <c r="E18" s="4" t="n">
        <v>740000</v>
      </c>
      <c r="F18" s="4" t="n">
        <v>772000</v>
      </c>
      <c r="G18" s="4" t="n">
        <f aca="false">F18-E18</f>
        <v>32000</v>
      </c>
      <c r="H18" s="5" t="n">
        <f aca="false">IF(E18=0,"",(F18-E18)/E18)</f>
        <v>0.0432432432432432</v>
      </c>
      <c r="I18" s="3" t="str">
        <f aca="false">IF(C18="Income",IF(F18&gt;=E18,"Favorable","Unfavorable"),IF(F18&lt;=E18,"Favorable","Unfavorable"))</f>
        <v>Favorable</v>
      </c>
    </row>
    <row r="19" customFormat="false" ht="15" hidden="false" customHeight="true" outlineLevel="0" collapsed="false">
      <c r="A19" s="3" t="s">
        <v>13</v>
      </c>
      <c r="B19" s="3" t="s">
        <v>14</v>
      </c>
      <c r="C19" s="3" t="s">
        <v>15</v>
      </c>
      <c r="D19" s="3" t="s">
        <v>26</v>
      </c>
      <c r="E19" s="4" t="n">
        <v>243000</v>
      </c>
      <c r="F19" s="4" t="n">
        <v>248000</v>
      </c>
      <c r="G19" s="4" t="n">
        <f aca="false">F19-E19</f>
        <v>5000</v>
      </c>
      <c r="H19" s="5" t="n">
        <f aca="false">IF(E19=0,"",(F19-E19)/E19)</f>
        <v>0.0205761316872428</v>
      </c>
      <c r="I19" s="3" t="str">
        <f aca="false">IF(C19="Income",IF(F19&gt;=E19,"Favorable","Unfavorable"),IF(F19&lt;=E19,"Favorable","Unfavorable"))</f>
        <v>Unfavorable</v>
      </c>
    </row>
    <row r="20" customFormat="false" ht="15" hidden="false" customHeight="true" outlineLevel="0" collapsed="false">
      <c r="A20" s="3" t="s">
        <v>16</v>
      </c>
      <c r="B20" s="3" t="s">
        <v>17</v>
      </c>
      <c r="C20" s="3" t="s">
        <v>18</v>
      </c>
      <c r="D20" s="3" t="s">
        <v>26</v>
      </c>
      <c r="E20" s="4" t="n">
        <v>90000</v>
      </c>
      <c r="F20" s="4" t="n">
        <v>88000</v>
      </c>
      <c r="G20" s="4" t="n">
        <f aca="false">F20-E20</f>
        <v>-2000</v>
      </c>
      <c r="H20" s="5" t="n">
        <f aca="false">IF(E20=0,"",(F20-E20)/E20)</f>
        <v>-0.0222222222222222</v>
      </c>
      <c r="I20" s="3" t="str">
        <f aca="false">IF(C20="Income",IF(F20&gt;=E20,"Favorable","Unfavorable"),IF(F20&lt;=E20,"Favorable","Unfavorable"))</f>
        <v>Favorable</v>
      </c>
    </row>
    <row r="21" customFormat="false" ht="15" hidden="false" customHeight="true" outlineLevel="0" collapsed="false">
      <c r="A21" s="3" t="s">
        <v>16</v>
      </c>
      <c r="B21" s="3" t="s">
        <v>19</v>
      </c>
      <c r="C21" s="3" t="s">
        <v>18</v>
      </c>
      <c r="D21" s="3" t="s">
        <v>26</v>
      </c>
      <c r="E21" s="4" t="n">
        <v>25000</v>
      </c>
      <c r="F21" s="4" t="n">
        <v>30000</v>
      </c>
      <c r="G21" s="4" t="n">
        <f aca="false">F21-E21</f>
        <v>5000</v>
      </c>
      <c r="H21" s="5" t="n">
        <f aca="false">IF(E21=0,"",(F21-E21)/E21)</f>
        <v>0.2</v>
      </c>
      <c r="I21" s="3" t="str">
        <f aca="false">IF(C21="Income",IF(F21&gt;=E21,"Favorable","Unfavorable"),IF(F21&lt;=E21,"Favorable","Unfavorable"))</f>
        <v>Unfavorable</v>
      </c>
    </row>
    <row r="22" customFormat="false" ht="15" hidden="false" customHeight="true" outlineLevel="0" collapsed="false">
      <c r="A22" s="3" t="s">
        <v>13</v>
      </c>
      <c r="B22" s="3" t="s">
        <v>20</v>
      </c>
      <c r="C22" s="3" t="s">
        <v>18</v>
      </c>
      <c r="D22" s="3" t="s">
        <v>26</v>
      </c>
      <c r="E22" s="4" t="n">
        <v>155000</v>
      </c>
      <c r="F22" s="4" t="n">
        <v>151000</v>
      </c>
      <c r="G22" s="4" t="n">
        <f aca="false">F22-E22</f>
        <v>-4000</v>
      </c>
      <c r="H22" s="5" t="n">
        <f aca="false">IF(E22=0,"",(F22-E22)/E22)</f>
        <v>-0.0258064516129032</v>
      </c>
      <c r="I22" s="3" t="str">
        <f aca="false">IF(C22="Income",IF(F22&gt;=E22,"Favorable","Unfavorable"),IF(F22&lt;=E22,"Favorable","Unfavorable"))</f>
        <v>Favorable</v>
      </c>
    </row>
    <row r="23" customFormat="false" ht="15" hidden="false" customHeight="true" outlineLevel="0" collapsed="false">
      <c r="A23" s="3" t="s">
        <v>13</v>
      </c>
      <c r="B23" s="3" t="s">
        <v>21</v>
      </c>
      <c r="C23" s="3" t="s">
        <v>18</v>
      </c>
      <c r="D23" s="3" t="s">
        <v>26</v>
      </c>
      <c r="E23" s="4" t="n">
        <v>40000</v>
      </c>
      <c r="F23" s="4" t="n">
        <v>40000</v>
      </c>
      <c r="G23" s="4" t="n">
        <f aca="false">F23-E23</f>
        <v>0</v>
      </c>
      <c r="H23" s="5" t="n">
        <f aca="false">IF(E23=0,"",(F23-E23)/E23)</f>
        <v>0</v>
      </c>
      <c r="I23" s="3" t="str">
        <f aca="false">IF(C23="Income",IF(F23&gt;=E23,"Favorable","Unfavorable"),IF(F23&lt;=E23,"Favorable","Unfavorable"))</f>
        <v>Favorable</v>
      </c>
    </row>
    <row r="24" customFormat="false" ht="15" hidden="false" customHeight="true" outlineLevel="0" collapsed="false">
      <c r="A24" s="3" t="s">
        <v>22</v>
      </c>
      <c r="B24" s="3" t="s">
        <v>23</v>
      </c>
      <c r="C24" s="3" t="s">
        <v>18</v>
      </c>
      <c r="D24" s="3" t="s">
        <v>26</v>
      </c>
      <c r="E24" s="4" t="n">
        <v>25000</v>
      </c>
      <c r="F24" s="4" t="n">
        <v>26500</v>
      </c>
      <c r="G24" s="4" t="n">
        <f aca="false">F24-E24</f>
        <v>1500</v>
      </c>
      <c r="H24" s="5" t="n">
        <f aca="false">IF(E24=0,"",(F24-E24)/E24)</f>
        <v>0.06</v>
      </c>
      <c r="I24" s="3" t="str">
        <f aca="false">IF(C24="Income",IF(F24&gt;=E24,"Favorable","Unfavorable"),IF(F24&lt;=E24,"Favorable","Unfavorable"))</f>
        <v>Unfavorable</v>
      </c>
    </row>
    <row r="25" customFormat="false" ht="15" hidden="false" customHeight="true" outlineLevel="0" collapsed="false">
      <c r="A25" s="3" t="s">
        <v>22</v>
      </c>
      <c r="B25" s="3" t="s">
        <v>24</v>
      </c>
      <c r="C25" s="3" t="s">
        <v>18</v>
      </c>
      <c r="D25" s="3" t="s">
        <v>26</v>
      </c>
      <c r="E25" s="4" t="n">
        <v>60000</v>
      </c>
      <c r="F25" s="4" t="n">
        <v>62000</v>
      </c>
      <c r="G25" s="4" t="n">
        <f aca="false">F25-E25</f>
        <v>2000</v>
      </c>
      <c r="H25" s="5" t="n">
        <f aca="false">IF(E25=0,"",(F25-E25)/E25)</f>
        <v>0.0333333333333333</v>
      </c>
      <c r="I25" s="3" t="str">
        <f aca="false">IF(C25="Income",IF(F25&gt;=E25,"Favorable","Unfavorable"),IF(F25&lt;=E25,"Favorable","Unfavorable"))</f>
        <v>Unfavorable</v>
      </c>
    </row>
  </sheetData>
  <conditionalFormatting sqref="I2:I25">
    <cfRule type="cellIs" priority="2" operator="equal" aboveAverage="0" equalAverage="0" bottom="0" percent="0" rank="0" text="" dxfId="0">
      <formula>"Favorable"</formula>
    </cfRule>
    <cfRule type="cellIs" priority="3" operator="equal" aboveAverage="0" equalAverage="0" bottom="0" percent="0" rank="0" text="" dxfId="1">
      <formula>"Unfavorable"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4" min="2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10" min="8" style="1" width="12"/>
  </cols>
  <sheetData>
    <row r="1" customFormat="false" ht="17.25" hidden="false" customHeight="true" outlineLevel="0" collapsed="false">
      <c r="A1" s="6" t="s">
        <v>27</v>
      </c>
    </row>
    <row r="2" customFormat="false" ht="15" hidden="false" customHeight="true" outlineLevel="0" collapsed="false">
      <c r="A2" s="7" t="s">
        <v>28</v>
      </c>
    </row>
    <row r="4" customFormat="false" ht="15" hidden="false" customHeight="true" outlineLevel="0" collapsed="false">
      <c r="A4" s="8" t="s">
        <v>29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H4" s="9" t="s">
        <v>2</v>
      </c>
      <c r="I4" s="9" t="s">
        <v>4</v>
      </c>
      <c r="J4" s="9" t="s">
        <v>5</v>
      </c>
    </row>
    <row r="5" customFormat="false" ht="15" hidden="false" customHeight="true" outlineLevel="0" collapsed="false">
      <c r="A5" s="10" t="s">
        <v>10</v>
      </c>
      <c r="B5" s="11" t="n">
        <f aca="false">SUMIFS(Data!E:E,Data!C:C,"Income")</f>
        <v>2160000</v>
      </c>
      <c r="C5" s="11" t="n">
        <f aca="false">SUMIFS(Data!F:F,Data!C:C,"Income")</f>
        <v>2188000</v>
      </c>
      <c r="D5" s="11" t="n">
        <f aca="false">C5-B5</f>
        <v>28000</v>
      </c>
      <c r="E5" s="12" t="n">
        <f aca="false">IF(B5=0,"",(C5-B5)/B5)</f>
        <v>0.012962962962963</v>
      </c>
      <c r="F5" s="13" t="str">
        <f aca="false">IF(C5&gt;=B5,"Favorable","Unfavorable")</f>
        <v>Favorable</v>
      </c>
      <c r="H5" s="1" t="s">
        <v>10</v>
      </c>
      <c r="I5" s="14" t="n">
        <f aca="false">B5</f>
        <v>2160000</v>
      </c>
      <c r="J5" s="14" t="n">
        <f aca="false">C5</f>
        <v>2188000</v>
      </c>
    </row>
    <row r="6" customFormat="false" ht="15" hidden="false" customHeight="true" outlineLevel="0" collapsed="false">
      <c r="A6" s="10" t="s">
        <v>15</v>
      </c>
      <c r="B6" s="11" t="n">
        <f aca="false">SUMIFS(Data!E:E,Data!C:C,"COGS")</f>
        <v>709000</v>
      </c>
      <c r="C6" s="11" t="n">
        <f aca="false">SUMIFS(Data!F:F,Data!C:C,"COGS")</f>
        <v>718000</v>
      </c>
      <c r="D6" s="11" t="n">
        <f aca="false">C6-B6</f>
        <v>9000</v>
      </c>
      <c r="E6" s="12" t="n">
        <f aca="false">IF(B6=0,"",(C6-B6)/B6)</f>
        <v>0.0126939351198872</v>
      </c>
      <c r="F6" s="13" t="str">
        <f aca="false">IF(C6&lt;=B6,"Favorable","Unfavorable")</f>
        <v>Unfavorable</v>
      </c>
      <c r="H6" s="1" t="s">
        <v>15</v>
      </c>
      <c r="I6" s="14" t="n">
        <f aca="false">B6</f>
        <v>709000</v>
      </c>
      <c r="J6" s="14" t="n">
        <f aca="false">C6</f>
        <v>718000</v>
      </c>
    </row>
    <row r="7" customFormat="false" ht="15" hidden="false" customHeight="true" outlineLevel="0" collapsed="false">
      <c r="A7" s="15" t="s">
        <v>30</v>
      </c>
      <c r="B7" s="11" t="n">
        <f aca="false">B5-B6</f>
        <v>1451000</v>
      </c>
      <c r="C7" s="11" t="n">
        <f aca="false">C5-C6</f>
        <v>1470000</v>
      </c>
      <c r="D7" s="11" t="n">
        <f aca="false">C7-B7</f>
        <v>19000</v>
      </c>
      <c r="E7" s="12" t="n">
        <f aca="false">IF(B7=0,"",(C7-B7)/B7)</f>
        <v>0.0130944176430048</v>
      </c>
      <c r="F7" s="13" t="str">
        <f aca="false">IF(C7&gt;=B7,"Favorable","Unfavorable")</f>
        <v>Favorable</v>
      </c>
      <c r="H7" s="1" t="s">
        <v>18</v>
      </c>
      <c r="I7" s="14" t="n">
        <f aca="false">B8</f>
        <v>1152000</v>
      </c>
      <c r="J7" s="14" t="n">
        <f aca="false">C8</f>
        <v>1181500</v>
      </c>
    </row>
    <row r="8" customFormat="false" ht="15" hidden="false" customHeight="true" outlineLevel="0" collapsed="false">
      <c r="A8" s="10" t="s">
        <v>31</v>
      </c>
      <c r="B8" s="11" t="n">
        <f aca="false">SUMIFS(Data!E:E,Data!C:C,"Opex")</f>
        <v>1152000</v>
      </c>
      <c r="C8" s="11" t="n">
        <f aca="false">SUMIFS(Data!F:F,Data!C:C,"Opex")</f>
        <v>1181500</v>
      </c>
      <c r="D8" s="11" t="n">
        <f aca="false">C8-B8</f>
        <v>29500</v>
      </c>
      <c r="E8" s="12" t="n">
        <f aca="false">IF(B8=0,"",(C8-B8)/B8)</f>
        <v>0.0256076388888889</v>
      </c>
      <c r="F8" s="13" t="str">
        <f aca="false">IF(C8&lt;=B8,"Favorable","Unfavorable")</f>
        <v>Unfavorable</v>
      </c>
    </row>
    <row r="9" customFormat="false" ht="15" hidden="false" customHeight="true" outlineLevel="0" collapsed="false">
      <c r="A9" s="15" t="s">
        <v>32</v>
      </c>
      <c r="B9" s="11" t="n">
        <f aca="false">B7-B8</f>
        <v>299000</v>
      </c>
      <c r="C9" s="11" t="n">
        <f aca="false">C7-C8</f>
        <v>288500</v>
      </c>
      <c r="D9" s="11" t="n">
        <f aca="false">C9-B9</f>
        <v>-10500</v>
      </c>
      <c r="E9" s="12" t="n">
        <f aca="false">IF(B9=0,"",(C9-B9)/B9)</f>
        <v>-0.0351170568561873</v>
      </c>
      <c r="F9" s="13" t="str">
        <f aca="false">IF(C9&gt;=B9,"Favorable","Unfavorable")</f>
        <v>Unfavorable</v>
      </c>
    </row>
    <row r="10" customFormat="false" ht="15" hidden="false" customHeight="true" outlineLevel="0" collapsed="false">
      <c r="A10" s="10" t="s">
        <v>33</v>
      </c>
      <c r="B10" s="12" t="n">
        <f aca="false">B9/B5</f>
        <v>0.138425925925926</v>
      </c>
      <c r="C10" s="12" t="n">
        <f aca="false">C9/C5</f>
        <v>0.131855575868373</v>
      </c>
      <c r="D10" s="12" t="n">
        <f aca="false">C10-B10</f>
        <v>-0.00657035005755299</v>
      </c>
      <c r="E10" s="12"/>
      <c r="F10" s="13"/>
    </row>
    <row r="13" customFormat="false" ht="15" hidden="false" customHeight="true" outlineLevel="0" collapsed="false">
      <c r="A13" s="16" t="s">
        <v>34</v>
      </c>
    </row>
    <row r="14" customFormat="false" ht="15" hidden="false" customHeight="true" outlineLevel="0" collapsed="false">
      <c r="A14" s="17" t="s">
        <v>3</v>
      </c>
      <c r="B14" s="17" t="s">
        <v>4</v>
      </c>
      <c r="C14" s="17" t="s">
        <v>5</v>
      </c>
      <c r="D14" s="17" t="s">
        <v>6</v>
      </c>
    </row>
    <row r="15" customFormat="false" ht="15" hidden="false" customHeight="true" outlineLevel="0" collapsed="false">
      <c r="A15" s="13" t="s">
        <v>12</v>
      </c>
      <c r="B15" s="11" t="n">
        <f aca="false">SUMIFS(Data!E:E,Data!C:C,"Income",Data!D:D,"Jan")</f>
        <v>700000</v>
      </c>
      <c r="C15" s="11" t="n">
        <f aca="false">SUMIFS(Data!F:F,Data!C:C,"Income",Data!D:D,"Jan")</f>
        <v>718000</v>
      </c>
      <c r="D15" s="11" t="n">
        <f aca="false">C15-B15</f>
        <v>18000</v>
      </c>
    </row>
    <row r="16" customFormat="false" ht="15" hidden="false" customHeight="true" outlineLevel="0" collapsed="false">
      <c r="A16" s="13" t="s">
        <v>25</v>
      </c>
      <c r="B16" s="11" t="n">
        <f aca="false">SUMIFS(Data!E:E,Data!C:C,"Income",Data!D:D,"Feb")</f>
        <v>720000</v>
      </c>
      <c r="C16" s="11" t="n">
        <f aca="false">SUMIFS(Data!F:F,Data!C:C,"Income",Data!D:D,"Feb")</f>
        <v>698000</v>
      </c>
      <c r="D16" s="11" t="n">
        <f aca="false">C16-B16</f>
        <v>-22000</v>
      </c>
    </row>
    <row r="17" customFormat="false" ht="15" hidden="false" customHeight="true" outlineLevel="0" collapsed="false">
      <c r="A17" s="13" t="s">
        <v>26</v>
      </c>
      <c r="B17" s="11" t="n">
        <f aca="false">SUMIFS(Data!E:E,Data!C:C,"Income",Data!D:D,"Mar")</f>
        <v>740000</v>
      </c>
      <c r="C17" s="11" t="n">
        <f aca="false">SUMIFS(Data!F:F,Data!C:C,"Income",Data!D:D,"Mar")</f>
        <v>772000</v>
      </c>
      <c r="D17" s="11" t="n">
        <f aca="false">C17-B17</f>
        <v>32000</v>
      </c>
    </row>
  </sheetData>
  <conditionalFormatting sqref="F5:F9">
    <cfRule type="cellIs" priority="2" operator="equal" aboveAverage="0" equalAverage="0" bottom="0" percent="0" rank="0" text="" dxfId="0">
      <formula>"Favorable"</formula>
    </cfRule>
    <cfRule type="cellIs" priority="3" operator="equal" aboveAverage="0" equalAverage="0" bottom="0" percent="0" rank="0" text="" dxfId="1">
      <formula>"Unfavorable"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8" t="s">
        <v>35</v>
      </c>
    </row>
    <row r="2" customFormat="false" ht="15" hidden="false" customHeight="false" outlineLevel="0" collapsed="false">
      <c r="A2" s="19" t="s">
        <v>36</v>
      </c>
    </row>
    <row r="4" customFormat="false" ht="15" hidden="false" customHeight="false" outlineLevel="0" collapsed="false">
      <c r="A4" s="20" t="s">
        <v>37</v>
      </c>
    </row>
    <row r="5" customFormat="false" ht="15" hidden="false" customHeight="false" outlineLevel="0" collapsed="false">
      <c r="A5" s="21" t="s">
        <v>38</v>
      </c>
      <c r="B5" s="22" t="n">
        <v>0.03</v>
      </c>
    </row>
    <row r="6" customFormat="false" ht="15" hidden="false" customHeight="false" outlineLevel="0" collapsed="false">
      <c r="A6" s="21" t="s">
        <v>39</v>
      </c>
      <c r="B6" s="22" t="n">
        <v>0.01</v>
      </c>
    </row>
    <row r="7" customFormat="false" ht="15" hidden="false" customHeight="false" outlineLevel="0" collapsed="false">
      <c r="A7" s="21" t="s">
        <v>40</v>
      </c>
      <c r="B7" s="23" t="n">
        <f aca="false">Summary!C6/Summary!C5</f>
        <v>0.328153564899452</v>
      </c>
    </row>
    <row r="8" customFormat="false" ht="15" hidden="false" customHeight="false" outlineLevel="0" collapsed="false">
      <c r="A8" s="21" t="s">
        <v>41</v>
      </c>
      <c r="B8" s="24" t="n">
        <f aca="false">Data!F18</f>
        <v>772000</v>
      </c>
    </row>
    <row r="9" customFormat="false" ht="15" hidden="false" customHeight="false" outlineLevel="0" collapsed="false">
      <c r="A9" s="21" t="s">
        <v>42</v>
      </c>
      <c r="B9" s="24" t="n">
        <f aca="false">SUMIFS(Data!F:F,Data!C:C,"Opex",Data!D:D,"Mar")</f>
        <v>397500</v>
      </c>
    </row>
    <row r="12" customFormat="false" ht="15" hidden="false" customHeight="false" outlineLevel="0" collapsed="false">
      <c r="A12" s="8" t="s">
        <v>29</v>
      </c>
      <c r="B12" s="8" t="s">
        <v>43</v>
      </c>
      <c r="C12" s="8" t="s">
        <v>44</v>
      </c>
      <c r="D12" s="8" t="s">
        <v>45</v>
      </c>
      <c r="E12" s="8" t="s">
        <v>46</v>
      </c>
      <c r="H12" s="25" t="s">
        <v>3</v>
      </c>
      <c r="I12" s="25" t="s">
        <v>10</v>
      </c>
      <c r="J12" s="25" t="s">
        <v>32</v>
      </c>
    </row>
    <row r="13" customFormat="false" ht="15" hidden="false" customHeight="false" outlineLevel="0" collapsed="false">
      <c r="A13" s="26" t="s">
        <v>10</v>
      </c>
      <c r="B13" s="27" t="n">
        <f aca="false">B8*(1+$B$5)</f>
        <v>795160</v>
      </c>
      <c r="C13" s="27" t="n">
        <f aca="false">B13*(1+$B$5)</f>
        <v>819014.8</v>
      </c>
      <c r="D13" s="27" t="n">
        <f aca="false">C13*(1+$B$5)</f>
        <v>843585.244</v>
      </c>
      <c r="E13" s="27" t="n">
        <f aca="false">SUM(B13:D13)</f>
        <v>2457760.044</v>
      </c>
      <c r="H13" s="0" t="s">
        <v>43</v>
      </c>
      <c r="I13" s="28" t="n">
        <f aca="false">B13</f>
        <v>795160</v>
      </c>
      <c r="J13" s="28" t="n">
        <f aca="false">B17</f>
        <v>132750.411334552</v>
      </c>
    </row>
    <row r="14" customFormat="false" ht="15" hidden="false" customHeight="false" outlineLevel="0" collapsed="false">
      <c r="A14" s="26" t="s">
        <v>15</v>
      </c>
      <c r="B14" s="27" t="n">
        <f aca="false">B13*$B$7</f>
        <v>260934.588665448</v>
      </c>
      <c r="C14" s="27" t="n">
        <f aca="false">C13*$B$7</f>
        <v>268762.626325411</v>
      </c>
      <c r="D14" s="27" t="n">
        <f aca="false">D13*$B$7</f>
        <v>276825.505115174</v>
      </c>
      <c r="E14" s="27" t="n">
        <f aca="false">SUM(B14:D14)</f>
        <v>806522.720106033</v>
      </c>
      <c r="H14" s="0" t="s">
        <v>44</v>
      </c>
      <c r="I14" s="28" t="n">
        <f aca="false">C13</f>
        <v>819014.8</v>
      </c>
      <c r="J14" s="28" t="n">
        <f aca="false">C17</f>
        <v>144762.423674589</v>
      </c>
    </row>
    <row r="15" customFormat="false" ht="15" hidden="false" customHeight="false" outlineLevel="0" collapsed="false">
      <c r="A15" s="29" t="s">
        <v>30</v>
      </c>
      <c r="B15" s="27" t="n">
        <f aca="false">B13-B14</f>
        <v>534225.411334552</v>
      </c>
      <c r="C15" s="27" t="n">
        <f aca="false">C13-C14</f>
        <v>550252.173674589</v>
      </c>
      <c r="D15" s="27" t="n">
        <f aca="false">D13-D14</f>
        <v>566759.738884826</v>
      </c>
      <c r="E15" s="27" t="n">
        <f aca="false">SUM(B15:D15)</f>
        <v>1651237.32389397</v>
      </c>
      <c r="H15" s="0" t="s">
        <v>45</v>
      </c>
      <c r="I15" s="28" t="n">
        <f aca="false">D13</f>
        <v>843585.244</v>
      </c>
      <c r="J15" s="28" t="n">
        <f aca="false">D17</f>
        <v>157215.091384826</v>
      </c>
    </row>
    <row r="16" customFormat="false" ht="15" hidden="false" customHeight="false" outlineLevel="0" collapsed="false">
      <c r="A16" s="26" t="s">
        <v>31</v>
      </c>
      <c r="B16" s="27" t="n">
        <f aca="false">B9*(1+$B$6)</f>
        <v>401475</v>
      </c>
      <c r="C16" s="27" t="n">
        <f aca="false">B16*(1+$B$6)</f>
        <v>405489.75</v>
      </c>
      <c r="D16" s="27" t="n">
        <f aca="false">C16*(1+$B$6)</f>
        <v>409544.6475</v>
      </c>
      <c r="E16" s="27" t="n">
        <f aca="false">SUM(B16:D16)</f>
        <v>1216509.3975</v>
      </c>
    </row>
    <row r="17" customFormat="false" ht="15" hidden="false" customHeight="false" outlineLevel="0" collapsed="false">
      <c r="A17" s="29" t="s">
        <v>32</v>
      </c>
      <c r="B17" s="27" t="n">
        <f aca="false">B15-B16</f>
        <v>132750.411334552</v>
      </c>
      <c r="C17" s="27" t="n">
        <f aca="false">C15-C16</f>
        <v>144762.423674589</v>
      </c>
      <c r="D17" s="27" t="n">
        <f aca="false">D15-D16</f>
        <v>157215.091384826</v>
      </c>
      <c r="E17" s="27" t="n">
        <f aca="false">SUM(B17:D17)</f>
        <v>434727.926393967</v>
      </c>
    </row>
    <row r="18" customFormat="false" ht="15" hidden="false" customHeight="false" outlineLevel="0" collapsed="false">
      <c r="A18" s="26" t="s">
        <v>33</v>
      </c>
      <c r="B18" s="30" t="n">
        <f aca="false">B17/B13</f>
        <v>0.166948049869903</v>
      </c>
      <c r="C18" s="30" t="n">
        <f aca="false">C17/C13</f>
        <v>0.176751902010304</v>
      </c>
      <c r="D18" s="30" t="n">
        <f aca="false">D17/D13</f>
        <v>0.186365388089726</v>
      </c>
      <c r="E18" s="30" t="n">
        <f aca="false">E17/E13</f>
        <v>0.176879727317256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2026-06-26T18:07:13Z</dcterms:created>
  <dc:creator>openpyxl</dc:creator>
  <dc:description/>
  <dc:language>en-US</dc:language>
  <cp:lastModifiedBy/>
  <dcterms:modified xsi:type="dcterms:W3CDTF">2026-06-26T18:10:18Z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